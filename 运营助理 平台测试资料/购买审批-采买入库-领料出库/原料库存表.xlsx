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粉末" sheetId="3" r:id="rId1"/>
  </sheets>
  <definedNames>
    <definedName name="A">OFFSET(#REF!,#REF!,1,1,3)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<sst xmlns="http://schemas.openxmlformats.org/spreadsheetml/2006/main" count="50" uniqueCount="38">
  <si>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r>
      <rPr>
        <b/>
        <sz val="36"/>
        <rFont val="思源黑体 CN Medium"/>
        <charset val="134"/>
      </rPr>
      <t>库存统计报表单位：</t>
    </r>
    <r>
      <rPr>
        <b/>
        <sz val="36"/>
        <rFont val="Calibri"/>
        <charset val="134"/>
      </rPr>
      <t>kg</t>
    </r>
  </si>
  <si>
    <t>时间</t>
  </si>
  <si>
    <t>各项数据</t>
  </si>
  <si>
    <t>氧化铬-5%氧化锆</t>
  </si>
  <si>
    <t>氧化钇氧化铝</t>
  </si>
  <si>
    <t>20%氧化钇氧化锆</t>
  </si>
  <si>
    <t>氧化铬PZ106</t>
  </si>
  <si>
    <t>未知氧化物陶瓷粉末</t>
  </si>
  <si>
    <t>NIC0crAIY</t>
  </si>
  <si>
    <t>NICR20</t>
  </si>
  <si>
    <t>NI65</t>
  </si>
  <si>
    <t>NI65A</t>
  </si>
  <si>
    <t>NI55A</t>
  </si>
  <si>
    <t>IN625</t>
  </si>
  <si>
    <t>氧化锆</t>
  </si>
  <si>
    <t>氧化钇</t>
  </si>
  <si>
    <t>97%氧化铬</t>
  </si>
  <si>
    <t>碳化硅粉</t>
  </si>
  <si>
    <t>氧化钇氧化锆</t>
  </si>
  <si>
    <t>氧化钛</t>
  </si>
  <si>
    <t>氮化铝</t>
  </si>
  <si>
    <t>氧化铝</t>
  </si>
  <si>
    <t>Cu10AI</t>
  </si>
  <si>
    <t xml:space="preserve">15-45 </t>
  </si>
  <si>
    <t>15-45</t>
  </si>
  <si>
    <t>140-325</t>
  </si>
  <si>
    <t>300-480</t>
  </si>
  <si>
    <t>15-53</t>
  </si>
  <si>
    <t>未知</t>
  </si>
  <si>
    <t>14-45</t>
  </si>
  <si>
    <t>7月</t>
  </si>
  <si>
    <t>期初数量</t>
  </si>
  <si>
    <t>采购价格</t>
  </si>
  <si>
    <t>期中采购数量</t>
  </si>
  <si>
    <t>期中采购价格</t>
  </si>
  <si>
    <t>本月结余</t>
  </si>
  <si>
    <t>本月消耗数量</t>
  </si>
  <si>
    <t>本月消耗金额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</si>
</sst>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name val="思源黑体 CN Medium"/>
      <charset val="134"/>
    </font>
    <font>
      <b/>
      <sz val="36"/>
      <name val="思源黑体 CN Medium"/>
      <charset val="134"/>
    </font>
    <font>
      <b/>
      <sz val="36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b/>
      <sz val="12"/>
      <color rgb="FFFF0000"/>
      <name val="思源黑体 CN Medium"/>
      <charset val="134"/>
    </font>
    <font>
      <sz val="12"/>
      <color rgb="FFFF0000"/>
      <name val="思源黑体 CN Medium"/>
      <charset val="134"/>
    </font>
    <font>
      <sz val="20"/>
      <color rgb="FFFF0000"/>
      <name val="思源黑体 CN Medium"/>
      <charset val="134"/>
    </font>
    <font>
      <sz val="20"/>
      <name val="思源黑体 CN Medium"/>
      <charset val="134"/>
    </font>
    <font>
      <sz val="12"/>
      <name val="Microsoft YaHei Light"/>
      <charset val="134"/>
    </font>
    <font>
      <sz val="12"/>
      <color theme="1"/>
      <name val="Microsoft YaHei Light"/>
      <charset val="134"/>
    </font>
    <font>
      <sz val="12"/>
      <color rgb="FFFF0000"/>
      <name val="Microsoft YaHei Light"/>
      <charset val="134"/>
    </font>
    <font>
      <b/>
      <sz val="12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36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13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4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0" fillId="0" borderId="0">
      <alignment vertical="center"/>
    </xf>
    <xf numFmtId="0" fontId="21" fillId="7" borderId="16">
      <alignment vertical="center"/>
    </xf>
    <xf numFmtId="0" fontId="22" fillId="8" borderId="17">
      <alignment vertical="center"/>
    </xf>
    <xf numFmtId="0" fontId="23" fillId="8" borderId="16">
      <alignment vertical="center"/>
    </xf>
    <xf numFmtId="0" fontId="24" fillId="9" borderId="18">
      <alignment vertical="center"/>
    </xf>
    <xf numFmtId="0" fontId="25" fillId="0" borderId="19">
      <alignment vertical="center"/>
    </xf>
    <xf numFmtId="0" fontId="26" fillId="0" borderId="2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3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0" fillId="35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"/>
  <sheetViews>
    <sheetView tabSelected="1" workbookViewId="0">
      <selection activeCell="AC1" sqref="AC$1:AU$1048576"/>
    </sheetView>
  </sheetViews>
  <sheetFormatPr defaultColWidth="9" defaultRowHeight="13.5"/>
  <cols>
    <col min="2" max="2" width="12.625" customWidth="1"/>
    <col min="5" max="5" width="13.75" customWidth="1"/>
    <col min="6" max="6" width="18.25" customWidth="1"/>
    <col min="7" max="7" width="13.125" customWidth="1"/>
    <col min="8" max="8" width="20.375" customWidth="1"/>
    <col min="9" max="9" width="10.75" customWidth="1"/>
    <col min="17" max="17" width="11.5" customWidth="1"/>
    <col min="19" max="19" width="13.75" customWidth="1"/>
  </cols>
  <sheetData>
    <row r="1" s="1" customFormat="1" ht="59.75" customHeight="1" spans="1:29">
      <c r="A1" s="2" t="s">
        <v>0</v>
      </c>
      <c r="B1" s="3"/>
      <c r="C1" s="4"/>
      <c r="D1" s="4"/>
      <c r="E1" s="4"/>
      <c r="H1" s="5"/>
      <c r="I1" s="6"/>
      <c r="J1" s="6"/>
      <c r="N1" s="7"/>
      <c r="O1" s="8"/>
      <c r="P1" s="8"/>
      <c r="Q1" s="7"/>
      <c r="R1" s="8"/>
      <c r="U1" s="6"/>
      <c r="X1" s="6"/>
    </row>
    <row r="2" s="1" customFormat="1" ht="7.5" customHeight="1" spans="1:29">
      <c r="B2" s="9"/>
      <c r="H2" s="5"/>
      <c r="I2" s="6"/>
      <c r="J2" s="6"/>
      <c r="N2" s="10"/>
      <c r="O2" s="11"/>
      <c r="P2" s="11"/>
      <c r="Q2" s="10"/>
      <c r="R2" s="11"/>
      <c r="U2" s="6"/>
      <c r="X2" s="6"/>
    </row>
    <row r="3" s="1" customFormat="1" ht="24.75" customHeight="1" spans="1:29">
      <c r="A3" s="12" t="s">
        <v>1</v>
      </c>
      <c r="B3" s="12" t="s">
        <v>2</v>
      </c>
      <c r="C3" s="13" t="s">
        <v>3</v>
      </c>
      <c r="D3" s="14"/>
      <c r="E3" s="15" t="s">
        <v>4</v>
      </c>
      <c r="F3" s="16" t="s">
        <v>5</v>
      </c>
      <c r="G3" s="17" t="s">
        <v>6</v>
      </c>
      <c r="H3" s="18" t="s">
        <v>7</v>
      </c>
      <c r="I3" s="19" t="s">
        <v>8</v>
      </c>
      <c r="J3" s="20" t="s">
        <v>9</v>
      </c>
      <c r="K3" s="21" t="s">
        <v>10</v>
      </c>
      <c r="L3" s="22" t="s">
        <v>11</v>
      </c>
      <c r="M3" s="22" t="s">
        <v>12</v>
      </c>
      <c r="N3" s="23" t="s">
        <v>13</v>
      </c>
      <c r="O3" s="22" t="s">
        <v>14</v>
      </c>
      <c r="P3" s="22" t="s">
        <v>15</v>
      </c>
      <c r="Q3" s="23" t="s">
        <v>16</v>
      </c>
      <c r="R3" s="22" t="s">
        <v>17</v>
      </c>
      <c r="S3" s="22" t="s">
        <v>18</v>
      </c>
      <c r="T3" s="22" t="s">
        <v>19</v>
      </c>
      <c r="U3" s="23" t="s">
        <v>20</v>
      </c>
      <c r="V3" s="22" t="s">
        <v>21</v>
      </c>
      <c r="W3" s="22" t="s">
        <v>22</v>
      </c>
      <c r="X3" s="23"/>
      <c r="Y3" s="22"/>
      <c r="Z3" s="22"/>
      <c r="AA3" s="22"/>
      <c r="AB3" s="22"/>
    </row>
    <row r="4" s="1" customFormat="1" ht="20" customHeight="1" spans="1:29">
      <c r="A4" s="24"/>
      <c r="B4" s="24"/>
      <c r="C4" s="25" t="s">
        <v>23</v>
      </c>
      <c r="D4" s="26"/>
      <c r="E4" s="22" t="s">
        <v>24</v>
      </c>
      <c r="F4" s="22" t="s">
        <v>24</v>
      </c>
      <c r="G4" s="22" t="s">
        <v>24</v>
      </c>
      <c r="H4" s="18" t="s">
        <v>24</v>
      </c>
      <c r="I4" s="23" t="s">
        <v>25</v>
      </c>
      <c r="J4" s="23" t="s">
        <v>26</v>
      </c>
      <c r="K4" s="22" t="s">
        <v>26</v>
      </c>
      <c r="L4" s="22" t="s">
        <v>27</v>
      </c>
      <c r="M4" s="22" t="s">
        <v>28</v>
      </c>
      <c r="N4" s="23" t="s">
        <v>24</v>
      </c>
      <c r="O4" s="22" t="s">
        <v>29</v>
      </c>
      <c r="P4" s="22" t="s">
        <v>24</v>
      </c>
      <c r="Q4" s="23">
        <f>-30-10</f>
        <v>-40</v>
      </c>
      <c r="R4" s="22" t="s">
        <v>24</v>
      </c>
      <c r="S4" s="22" t="s">
        <v>24</v>
      </c>
      <c r="T4" s="22" t="s">
        <v>24</v>
      </c>
      <c r="U4" s="23" t="s">
        <v>24</v>
      </c>
      <c r="V4" s="22" t="s">
        <v>28</v>
      </c>
      <c r="W4" s="22" t="s">
        <v>24</v>
      </c>
      <c r="X4" s="23"/>
      <c r="Y4" s="22"/>
      <c r="Z4" s="22"/>
      <c r="AA4" s="22"/>
      <c r="AB4" s="22"/>
    </row>
    <row r="5" s="1" customFormat="1" ht="21" customHeight="1" spans="1:29">
      <c r="A5" s="27" t="s">
        <v>30</v>
      </c>
      <c r="B5" s="28" t="s">
        <v>31</v>
      </c>
      <c r="C5" s="29"/>
      <c r="D5" s="30">
        <v>125</v>
      </c>
      <c r="E5" s="30"/>
      <c r="F5" s="30"/>
      <c r="G5" s="30">
        <v>40</v>
      </c>
      <c r="H5" s="31">
        <v>15</v>
      </c>
      <c r="I5" s="32"/>
      <c r="J5" s="32"/>
      <c r="K5" s="30">
        <v>5</v>
      </c>
      <c r="L5" s="30"/>
      <c r="M5" s="30">
        <v>15</v>
      </c>
      <c r="N5" s="32">
        <v>5</v>
      </c>
      <c r="O5" s="30">
        <v>5</v>
      </c>
      <c r="P5" s="30">
        <v>6</v>
      </c>
      <c r="Q5" s="32">
        <v>40</v>
      </c>
      <c r="R5" s="30"/>
      <c r="S5" s="30">
        <v>1</v>
      </c>
      <c r="T5" s="30"/>
      <c r="U5" s="32">
        <v>100</v>
      </c>
      <c r="V5" s="30">
        <v>6</v>
      </c>
      <c r="W5" s="30">
        <v>0.5</v>
      </c>
      <c r="X5" s="32">
        <v>2</v>
      </c>
      <c r="Y5" s="30">
        <v>50</v>
      </c>
      <c r="Z5" s="30"/>
      <c r="AA5" s="30">
        <v>17</v>
      </c>
      <c r="AB5" s="30">
        <v>15</v>
      </c>
    </row>
    <row r="6" s="1" customFormat="1" ht="21" customHeight="1" spans="1:29">
      <c r="A6" s="33"/>
      <c r="B6" s="28" t="s">
        <v>32</v>
      </c>
      <c r="C6" s="29"/>
      <c r="D6" s="29">
        <v>635</v>
      </c>
      <c r="E6" s="29"/>
      <c r="F6" s="29"/>
      <c r="G6" s="29">
        <v>105</v>
      </c>
      <c r="H6" s="34">
        <v>270</v>
      </c>
      <c r="I6" s="35"/>
      <c r="J6" s="35"/>
      <c r="K6" s="29">
        <v>130</v>
      </c>
      <c r="L6" s="29"/>
      <c r="M6" s="29">
        <v>165</v>
      </c>
      <c r="N6" s="35"/>
      <c r="O6" s="29"/>
      <c r="P6" s="29"/>
      <c r="Q6" s="35">
        <v>45</v>
      </c>
      <c r="R6" s="29"/>
      <c r="S6" s="29"/>
      <c r="T6" s="29"/>
      <c r="U6" s="35">
        <v>152</v>
      </c>
      <c r="V6" s="29"/>
      <c r="W6" s="29"/>
      <c r="X6" s="35"/>
      <c r="Y6" s="29"/>
      <c r="Z6" s="29"/>
      <c r="AA6" s="29">
        <v>820</v>
      </c>
      <c r="AB6" s="29"/>
    </row>
    <row r="7" s="1" customFormat="1" ht="21" customHeight="1" spans="1:29">
      <c r="A7" s="33"/>
      <c r="B7" s="36" t="s">
        <v>33</v>
      </c>
      <c r="C7" s="37"/>
      <c r="D7" s="37"/>
      <c r="E7" s="37"/>
      <c r="F7" s="37"/>
      <c r="G7" s="37">
        <v>400</v>
      </c>
      <c r="H7" s="38"/>
      <c r="I7" s="39"/>
      <c r="J7" s="39"/>
      <c r="K7" s="37"/>
      <c r="L7" s="37"/>
      <c r="M7" s="37">
        <v>100</v>
      </c>
      <c r="N7" s="39"/>
      <c r="O7" s="37"/>
      <c r="P7" s="37"/>
      <c r="Q7" s="39">
        <v>100</v>
      </c>
      <c r="R7" s="37"/>
      <c r="S7" s="37"/>
      <c r="T7" s="37"/>
      <c r="U7" s="39"/>
      <c r="V7" s="37"/>
      <c r="W7" s="37"/>
      <c r="X7" s="39"/>
      <c r="Y7" s="37"/>
      <c r="Z7" s="37"/>
      <c r="AA7" s="37">
        <v>54</v>
      </c>
      <c r="AB7" s="37"/>
    </row>
    <row r="8" s="1" customFormat="1" ht="21" customHeight="1" spans="1:29">
      <c r="A8" s="33"/>
      <c r="B8" s="36" t="s">
        <v>34</v>
      </c>
      <c r="C8" s="37"/>
      <c r="D8" s="37">
        <v>1890</v>
      </c>
      <c r="E8" s="37"/>
      <c r="F8" s="37"/>
      <c r="G8" s="37">
        <v>105</v>
      </c>
      <c r="H8" s="38"/>
      <c r="I8" s="39"/>
      <c r="J8" s="39"/>
      <c r="K8" s="37"/>
      <c r="L8" s="37"/>
      <c r="M8" s="37">
        <v>188</v>
      </c>
      <c r="N8" s="39"/>
      <c r="O8" s="37"/>
      <c r="P8" s="37"/>
      <c r="Q8" s="39">
        <v>45</v>
      </c>
      <c r="R8" s="37"/>
      <c r="S8" s="37"/>
      <c r="T8" s="37"/>
      <c r="U8" s="39"/>
      <c r="V8" s="37"/>
      <c r="W8" s="37"/>
      <c r="X8" s="39"/>
      <c r="Y8" s="37"/>
      <c r="Z8" s="37"/>
      <c r="AA8" s="37">
        <v>580</v>
      </c>
      <c r="AB8" s="37"/>
    </row>
    <row r="9" s="1" customFormat="1" ht="21" customHeight="1" spans="1:29">
      <c r="A9" s="33"/>
      <c r="B9" s="40" t="s">
        <v>35</v>
      </c>
      <c r="C9" s="30"/>
      <c r="D9" s="30">
        <v>100</v>
      </c>
      <c r="E9" s="30"/>
      <c r="F9" s="30">
        <v>5</v>
      </c>
      <c r="G9" s="30">
        <v>312</v>
      </c>
      <c r="H9" s="31">
        <v>15</v>
      </c>
      <c r="I9" s="32"/>
      <c r="J9" s="32"/>
      <c r="K9" s="30">
        <v>5</v>
      </c>
      <c r="L9" s="30">
        <v>2</v>
      </c>
      <c r="M9" s="30">
        <v>95</v>
      </c>
      <c r="N9" s="32">
        <v>5</v>
      </c>
      <c r="O9" s="30">
        <v>5</v>
      </c>
      <c r="P9" s="30">
        <v>6</v>
      </c>
      <c r="Q9" s="32">
        <v>120</v>
      </c>
      <c r="R9" s="30"/>
      <c r="S9" s="30">
        <v>1</v>
      </c>
      <c r="T9" s="30"/>
      <c r="U9" s="32">
        <v>85</v>
      </c>
      <c r="V9" s="30">
        <v>6</v>
      </c>
      <c r="W9" s="30">
        <v>0.5</v>
      </c>
      <c r="X9" s="32">
        <v>2</v>
      </c>
      <c r="Y9" s="30">
        <v>50</v>
      </c>
      <c r="Z9" s="30"/>
      <c r="AA9" s="30">
        <v>47</v>
      </c>
      <c r="AB9" s="30">
        <v>15</v>
      </c>
    </row>
    <row r="10" s="1" customFormat="1" ht="21" customHeight="1" spans="1:29">
      <c r="A10" s="33"/>
      <c r="B10" s="40" t="s">
        <v>36</v>
      </c>
      <c r="C10" s="30"/>
      <c r="D10" s="30">
        <f>D5-D9</f>
        <v>25</v>
      </c>
      <c r="E10" s="30"/>
      <c r="F10" s="30"/>
      <c r="G10" s="30">
        <f>G5+G7-G9</f>
        <v>128</v>
      </c>
      <c r="H10" s="41">
        <f>H5+H7-H9</f>
        <v>0</v>
      </c>
      <c r="I10" s="32"/>
      <c r="J10" s="32"/>
      <c r="K10" s="30">
        <f>K5-K9</f>
        <v>0</v>
      </c>
      <c r="L10" s="30"/>
      <c r="M10" s="30">
        <f>M5+M7-M9</f>
        <v>20</v>
      </c>
      <c r="N10" s="32"/>
      <c r="O10" s="30"/>
      <c r="P10" s="30"/>
      <c r="Q10" s="32">
        <f>Q5+Q7-Q9</f>
        <v>20</v>
      </c>
      <c r="R10" s="30"/>
      <c r="S10" s="30"/>
      <c r="T10" s="30"/>
      <c r="U10" s="32">
        <f>U5-U9</f>
        <v>15</v>
      </c>
      <c r="V10" s="30">
        <f>V5-V9</f>
        <v>0</v>
      </c>
      <c r="W10" s="30"/>
      <c r="X10" s="32"/>
      <c r="Y10" s="30"/>
      <c r="Z10" s="30"/>
      <c r="AA10" s="30">
        <f>AA5+AA7-AA9</f>
        <v>24</v>
      </c>
      <c r="AB10" s="30"/>
    </row>
    <row r="11" s="1" customFormat="1" ht="21" customHeight="1" spans="1:29">
      <c r="A11" s="42"/>
      <c r="B11" s="43" t="s">
        <v>37</v>
      </c>
      <c r="C11" s="44"/>
      <c r="D11" s="44">
        <f>D10*635</f>
        <v>15875</v>
      </c>
      <c r="E11" s="44"/>
      <c r="F11" s="44"/>
      <c r="G11" s="44">
        <f>G10*G6</f>
        <v>13440</v>
      </c>
      <c r="H11" s="45"/>
      <c r="I11" s="46"/>
      <c r="J11" s="46"/>
      <c r="K11" s="44">
        <f>K10*K6</f>
        <v>0</v>
      </c>
      <c r="L11" s="44"/>
      <c r="M11" s="44">
        <f>M6*15+5*M8</f>
        <v>3415</v>
      </c>
      <c r="N11" s="46"/>
      <c r="O11" s="44"/>
      <c r="P11" s="44"/>
      <c r="Q11" s="46">
        <f>Q10*Q8</f>
        <v>900</v>
      </c>
      <c r="R11" s="44"/>
      <c r="S11" s="44"/>
      <c r="T11" s="44"/>
      <c r="U11" s="46">
        <f>U10*U6</f>
        <v>2280</v>
      </c>
      <c r="V11" s="44"/>
      <c r="W11" s="44"/>
      <c r="X11" s="46"/>
      <c r="Y11" s="44">
        <f>Y10*60</f>
        <v>0</v>
      </c>
      <c r="Z11" s="44"/>
      <c r="AA11" s="44">
        <f>AA5*820+AA8*7</f>
        <v>18000</v>
      </c>
      <c r="AB11" s="44"/>
      <c r="AC11" s="1">
        <f>SUM(D11:AB11)</f>
        <v>53910</v>
      </c>
    </row>
  </sheetData>
  <mergeCells count="5">
    <mergeCell ref="A1:E1"/>
    <mergeCell ref="C3:D3"/>
    <mergeCell ref="C4:D4"/>
    <mergeCell ref="A3:A4"/>
    <mergeCell ref="A5:A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粉末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峰业机械刘涛</cp:lastModifiedBy>
  <dcterms:created xsi:type="dcterms:W3CDTF">2023-05-12T11:15:00Z</dcterms:created>
  <dcterms:modified xsi:type="dcterms:W3CDTF">2026-08-01T10:27:14Z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4436259506BB48D5A25DDCB96ED238BE_12</vt:lpwstr>
  </property>
  <property fmtid="{D5CDD505-2E9C-101B-9397-08002B2CF9AE}" pid="4" name="CalculationRule">
    <vt:i4>0</vt:i4>
  </property>
</Properties>
</file>